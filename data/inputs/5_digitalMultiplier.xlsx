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<sst xmlns="http://schemas.openxmlformats.org/spreadsheetml/2006/main" count="160" uniqueCount="78">
  <si>
    <t>Description</t>
  </si>
  <si>
    <t>Genre</t>
  </si>
  <si>
    <t>Module</t>
  </si>
  <si>
    <t>Cycle Count</t>
  </si>
  <si>
    <t>Area um2</t>
  </si>
  <si>
    <t>Area mm2</t>
  </si>
  <si>
    <t>Power uW</t>
  </si>
  <si>
    <t>Power mW</t>
  </si>
  <si>
    <t>Power W</t>
  </si>
  <si>
    <t>COUNT</t>
  </si>
  <si>
    <t>Latency</t>
  </si>
  <si>
    <t>Energy</t>
  </si>
  <si>
    <t/>
  </si>
  <si>
    <t>Attention Score</t>
  </si>
  <si>
    <t>a1_q_buffer</t>
  </si>
  <si>
    <t>Q buffer</t>
  </si>
  <si>
    <t>Key SRAM</t>
  </si>
  <si>
    <t>a2_ML_REG</t>
  </si>
  <si>
    <t>ML_REG</t>
  </si>
  <si>
    <t>BA-CAM</t>
  </si>
  <si>
    <t>64x64 CAM</t>
  </si>
  <si>
    <t>a3_input_buf</t>
  </si>
  <si>
    <t>64x1 buf</t>
  </si>
  <si>
    <t>a4_10bit_adc</t>
  </si>
  <si>
    <t>10bit ADC</t>
  </si>
  <si>
    <t>a5_x8</t>
  </si>
  <si>
    <t>x8</t>
  </si>
  <si>
    <t>a6_sub64</t>
  </si>
  <si>
    <t>-CAMH subtractor</t>
  </si>
  <si>
    <t>a7_accum_array</t>
  </si>
  <si>
    <t>ACCUM array</t>
  </si>
  <si>
    <t>a8_top3</t>
  </si>
  <si>
    <t>Top3</t>
  </si>
  <si>
    <t>a9_convert</t>
  </si>
  <si>
    <t>Convert</t>
  </si>
  <si>
    <t>Filtering and Normalization</t>
  </si>
  <si>
    <t>a10_top30</t>
  </si>
  <si>
    <t>Top30</t>
  </si>
  <si>
    <t>a11_softmax</t>
  </si>
  <si>
    <t>SoftMax</t>
  </si>
  <si>
    <t>Contextualization</t>
  </si>
  <si>
    <t>a12_sparseMM</t>
  </si>
  <si>
    <t>Sparse MatMul</t>
  </si>
  <si>
    <t>Value SRAM</t>
  </si>
  <si>
    <t>a14_output_buffer</t>
  </si>
  <si>
    <t>a15_indices_buffer</t>
  </si>
  <si>
    <t>a16_address_controller</t>
  </si>
  <si>
    <t>DRAM Access</t>
  </si>
  <si>
    <t>a17_out_buffer</t>
  </si>
  <si>
    <t>(1×1024)×(1024×256)</t>
  </si>
  <si>
    <t>1x16x16</t>
  </si>
  <si>
    <t>QK Multiplication</t>
  </si>
  <si>
    <t>(1×256)×(256×1024)</t>
  </si>
  <si>
    <t>Attn Prob * V</t>
  </si>
  <si>
    <t>TOTALS</t>
  </si>
  <si>
    <t>(1×30)×(30×1024)</t>
  </si>
  <si>
    <t>1x10x10</t>
  </si>
  <si>
    <t>layers</t>
  </si>
  <si>
    <t>m</t>
  </si>
  <si>
    <t>n</t>
  </si>
  <si>
    <t>k</t>
  </si>
  <si>
    <t>dv</t>
  </si>
  <si>
    <t>multiple</t>
  </si>
  <si>
    <t>latency via CAMformer</t>
  </si>
  <si>
    <t>area via CAMformer</t>
  </si>
  <si>
    <t>power via CAMformer</t>
  </si>
  <si>
    <t>energy via CAMformer</t>
  </si>
  <si>
    <t>GOP</t>
  </si>
  <si>
    <t>Eff. GOP</t>
  </si>
  <si>
    <t>Throughput (GOP/s)</t>
  </si>
  <si>
    <t>Energy Efficiency (GOP/J)</t>
  </si>
  <si>
    <t>Energy Eff (GOP/W)</t>
  </si>
  <si>
    <t>Area Efficiency (GOP/s/mm2)</t>
  </si>
  <si>
    <t>CAMformer</t>
  </si>
  <si>
    <t>latency</t>
  </si>
  <si>
    <t>area</t>
  </si>
  <si>
    <t>power</t>
  </si>
  <si>
    <t>energy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</si>
</sst>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sz val="11.0"/>
      <color theme="1"/>
      <name val="Roboto"/>
    </font>
    <font>
      <sz val="11.0"/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11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1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1" numFmtId="11" xfId="0" applyFont="1" applyNumberFormat="1"/>
    <xf borderId="0" fillId="0" fontId="1" numFmtId="0" xfId="0" applyFont="1"/>
    <xf borderId="0" fillId="0" fontId="1" numFmtId="3" xfId="0" applyAlignment="1" applyFont="1" applyNumberFormat="1">
      <alignment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5</v>
      </c>
      <c r="M1" s="1" t="s">
        <v>8</v>
      </c>
      <c r="N1" s="1" t="s">
        <v>10</v>
      </c>
      <c r="O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>
        <v>1.0</v>
      </c>
      <c r="F2" s="1">
        <v>24780.8</v>
      </c>
      <c r="G2" s="1">
        <v>0.0248</v>
      </c>
      <c r="H2" s="1">
        <v>46588.2</v>
      </c>
      <c r="I2" s="1">
        <v>46.5882</v>
      </c>
      <c r="J2" s="1">
        <v>0.0466</v>
      </c>
      <c r="K2" s="1">
        <v>1.0</v>
      </c>
      <c r="L2" s="1">
        <v>0.0248</v>
      </c>
      <c r="M2" s="1">
        <v>0.0466</v>
      </c>
      <c r="N2" s="2">
        <v>2.0E-9</v>
      </c>
      <c r="O2" s="2">
        <v>9.32E-11</v>
      </c>
    </row>
    <row r="3">
      <c r="A3" s="1" t="s">
        <v>12</v>
      </c>
      <c r="B3" s="1" t="s">
        <v>13</v>
      </c>
      <c r="C3" s="1" t="s">
        <v>12</v>
      </c>
      <c r="D3" s="1" t="s">
        <v>16</v>
      </c>
      <c r="E3" s="1">
        <v>1.0</v>
      </c>
      <c r="F3" s="1" t="s">
        <v>12</v>
      </c>
      <c r="G3" s="1">
        <v>1.051</v>
      </c>
      <c r="H3" s="1" t="s">
        <v>12</v>
      </c>
      <c r="I3" s="1" t="s">
        <v>12</v>
      </c>
      <c r="J3" s="1" t="s">
        <v>12</v>
      </c>
      <c r="K3" s="1">
        <v>1.0</v>
      </c>
      <c r="L3" s="1">
        <v>1.051</v>
      </c>
      <c r="M3" s="1" t="s">
        <v>12</v>
      </c>
      <c r="N3" s="1" t="s">
        <v>12</v>
      </c>
      <c r="O3" s="3">
        <f>0.000002193695</f>
        <v>0.000002193695</v>
      </c>
    </row>
    <row r="4">
      <c r="A4" s="1" t="s">
        <v>12</v>
      </c>
      <c r="B4" s="1" t="s">
        <v>13</v>
      </c>
      <c r="C4" s="1" t="s">
        <v>17</v>
      </c>
      <c r="D4" s="1" t="s">
        <v>18</v>
      </c>
      <c r="E4" s="1">
        <v>1.0</v>
      </c>
      <c r="F4" s="1">
        <v>25561.6</v>
      </c>
      <c r="G4" s="1">
        <v>0.0256</v>
      </c>
      <c r="H4" s="1">
        <v>48067.6</v>
      </c>
      <c r="I4" s="1">
        <v>48.0676</v>
      </c>
      <c r="J4" s="1">
        <v>0.0481</v>
      </c>
      <c r="K4" s="1">
        <v>1.0</v>
      </c>
      <c r="L4" s="1">
        <v>0.0256</v>
      </c>
      <c r="M4" s="1">
        <v>0.0481</v>
      </c>
      <c r="N4" s="2">
        <v>2.0E-9</v>
      </c>
      <c r="O4" s="2">
        <v>9.62E-11</v>
      </c>
    </row>
    <row r="5">
      <c r="A5" s="1" t="s">
        <v>12</v>
      </c>
      <c r="B5" s="1" t="s">
        <v>19</v>
      </c>
      <c r="C5" s="1" t="s">
        <v>12</v>
      </c>
      <c r="D5" s="1" t="s">
        <v>20</v>
      </c>
      <c r="E5" s="1">
        <v>1.0</v>
      </c>
      <c r="F5" s="1">
        <v>13516.8</v>
      </c>
      <c r="G5" s="1">
        <v>0.0135</v>
      </c>
      <c r="H5" s="1">
        <v>100800.0</v>
      </c>
      <c r="I5" s="1">
        <v>100.8</v>
      </c>
      <c r="J5" s="1">
        <v>0.1008</v>
      </c>
      <c r="K5" s="1">
        <v>1.0</v>
      </c>
      <c r="L5" s="1">
        <v>0.0135</v>
      </c>
      <c r="M5" s="1">
        <v>0.1008</v>
      </c>
      <c r="N5" s="2">
        <v>2.0E-9</v>
      </c>
      <c r="O5" s="2">
        <v>2.02E-10</v>
      </c>
    </row>
    <row r="6">
      <c r="A6" s="1" t="s">
        <v>12</v>
      </c>
      <c r="B6" s="1" t="s">
        <v>19</v>
      </c>
      <c r="C6" s="1" t="s">
        <v>21</v>
      </c>
      <c r="D6" s="1" t="s">
        <v>22</v>
      </c>
      <c r="E6" s="1">
        <v>1.0</v>
      </c>
      <c r="F6" s="1">
        <v>768.0</v>
      </c>
      <c r="G6" s="1">
        <v>8.0E-4</v>
      </c>
      <c r="H6" s="1">
        <v>1449.6</v>
      </c>
      <c r="I6" s="1">
        <v>1.4496</v>
      </c>
      <c r="J6" s="1">
        <v>0.0014</v>
      </c>
      <c r="K6" s="1">
        <v>1.0</v>
      </c>
      <c r="L6" s="1">
        <v>8.0E-4</v>
      </c>
      <c r="M6" s="1">
        <v>0.0014</v>
      </c>
      <c r="N6" s="2">
        <v>2.0E-9</v>
      </c>
      <c r="O6" s="2">
        <v>2.9E-12</v>
      </c>
    </row>
    <row r="7">
      <c r="A7" s="1" t="s">
        <v>12</v>
      </c>
      <c r="B7" s="1" t="s">
        <v>19</v>
      </c>
      <c r="C7" s="1" t="s">
        <v>23</v>
      </c>
      <c r="D7" s="1" t="s">
        <v>24</v>
      </c>
      <c r="E7" s="1">
        <v>1.0</v>
      </c>
      <c r="F7" s="1">
        <v>570.2</v>
      </c>
      <c r="G7" s="1">
        <v>6.0E-4</v>
      </c>
      <c r="H7" s="1">
        <v>1188.9</v>
      </c>
      <c r="I7" s="1">
        <v>1.1889</v>
      </c>
      <c r="J7" s="1">
        <v>0.0012</v>
      </c>
      <c r="K7" s="1">
        <v>64.0</v>
      </c>
      <c r="L7" s="1">
        <v>0.0366</v>
      </c>
      <c r="M7" s="1">
        <v>0.0756</v>
      </c>
      <c r="N7" s="2">
        <v>2.0E-9</v>
      </c>
      <c r="O7" s="2">
        <v>1.51E-10</v>
      </c>
    </row>
    <row r="8">
      <c r="A8" s="1" t="s">
        <v>12</v>
      </c>
      <c r="B8" s="1" t="s">
        <v>19</v>
      </c>
      <c r="C8" s="1" t="s">
        <v>25</v>
      </c>
      <c r="D8" s="1" t="s">
        <v>26</v>
      </c>
      <c r="E8" s="1">
        <v>1.0</v>
      </c>
      <c r="F8" s="1">
        <v>174.2</v>
      </c>
      <c r="G8" s="1">
        <v>2.0E-4</v>
      </c>
      <c r="H8" s="1">
        <v>516.6</v>
      </c>
      <c r="I8" s="1">
        <v>0.5166</v>
      </c>
      <c r="J8" s="1">
        <v>5.0E-4</v>
      </c>
      <c r="K8" s="1">
        <v>64.0</v>
      </c>
      <c r="L8" s="1">
        <v>0.0112</v>
      </c>
      <c r="M8" s="1">
        <v>0.033</v>
      </c>
      <c r="N8" s="2">
        <v>2.0E-9</v>
      </c>
      <c r="O8" s="2">
        <v>6.6E-11</v>
      </c>
    </row>
    <row r="9">
      <c r="A9" s="1" t="s">
        <v>12</v>
      </c>
      <c r="B9" s="1" t="s">
        <v>19</v>
      </c>
      <c r="C9" s="1" t="s">
        <v>27</v>
      </c>
      <c r="D9" s="1" t="s">
        <v>28</v>
      </c>
      <c r="E9" s="1">
        <v>1.0</v>
      </c>
      <c r="F9" s="1">
        <v>266.6</v>
      </c>
      <c r="G9" s="1">
        <v>3.0E-4</v>
      </c>
      <c r="H9" s="1">
        <v>636.0</v>
      </c>
      <c r="I9" s="1">
        <v>0.636</v>
      </c>
      <c r="J9" s="1">
        <v>6.0E-4</v>
      </c>
      <c r="K9" s="1">
        <v>64.0</v>
      </c>
      <c r="L9" s="1">
        <v>0.0171</v>
      </c>
      <c r="M9" s="1">
        <v>0.0407</v>
      </c>
      <c r="N9" s="2">
        <v>2.0E-9</v>
      </c>
      <c r="O9" s="2">
        <v>8.14E-11</v>
      </c>
    </row>
    <row r="10">
      <c r="A10" s="1" t="s">
        <v>12</v>
      </c>
      <c r="B10" s="1" t="s">
        <v>19</v>
      </c>
      <c r="C10" s="1" t="s">
        <v>29</v>
      </c>
      <c r="D10" s="1" t="s">
        <v>30</v>
      </c>
      <c r="E10" s="1">
        <v>12.0</v>
      </c>
      <c r="F10" s="1">
        <v>28787.5</v>
      </c>
      <c r="G10" s="1">
        <v>0.0288</v>
      </c>
      <c r="H10" s="1">
        <v>44723.5</v>
      </c>
      <c r="I10" s="1">
        <v>44.7235</v>
      </c>
      <c r="J10" s="1">
        <v>0.0447</v>
      </c>
      <c r="K10" s="1">
        <v>1.0</v>
      </c>
      <c r="L10" s="1">
        <v>0.0288</v>
      </c>
      <c r="M10" s="1">
        <v>0.0447</v>
      </c>
      <c r="N10" s="2">
        <v>2.0E-9</v>
      </c>
      <c r="O10" s="2">
        <v>8.94E-11</v>
      </c>
    </row>
    <row r="11">
      <c r="A11" s="1" t="s">
        <v>12</v>
      </c>
      <c r="B11" s="1" t="s">
        <v>19</v>
      </c>
      <c r="C11" s="1" t="s">
        <v>31</v>
      </c>
      <c r="D11" s="1" t="s">
        <v>32</v>
      </c>
      <c r="E11" s="1">
        <v>67.0</v>
      </c>
      <c r="F11" s="1">
        <v>4292.4</v>
      </c>
      <c r="G11" s="1">
        <v>0.0043</v>
      </c>
      <c r="H11" s="1">
        <v>2304.9</v>
      </c>
      <c r="I11" s="1">
        <v>2.3049</v>
      </c>
      <c r="J11" s="1">
        <v>0.0023</v>
      </c>
      <c r="K11" s="1">
        <v>1.0</v>
      </c>
      <c r="L11" s="1">
        <v>0.0043</v>
      </c>
      <c r="M11" s="1">
        <v>0.0023</v>
      </c>
      <c r="N11" s="2">
        <v>2.0E-9</v>
      </c>
      <c r="O11" s="2">
        <v>4.61E-12</v>
      </c>
    </row>
    <row r="12">
      <c r="A12" s="1" t="s">
        <v>12</v>
      </c>
      <c r="B12" s="1" t="s">
        <v>19</v>
      </c>
      <c r="C12" s="1" t="s">
        <v>33</v>
      </c>
      <c r="D12" s="1" t="s">
        <v>34</v>
      </c>
      <c r="E12" s="1">
        <v>1.0</v>
      </c>
      <c r="F12" s="1">
        <v>187.2</v>
      </c>
      <c r="G12" s="1">
        <v>2.0E-4</v>
      </c>
      <c r="H12" s="1">
        <v>376.1</v>
      </c>
      <c r="I12" s="1">
        <v>0.3761</v>
      </c>
      <c r="J12" s="1">
        <v>4.0E-4</v>
      </c>
      <c r="K12" s="1">
        <v>3.0</v>
      </c>
      <c r="L12" s="1">
        <v>6.0E-4</v>
      </c>
      <c r="M12" s="1">
        <v>0.0011</v>
      </c>
      <c r="N12" s="2">
        <v>2.0E-9</v>
      </c>
      <c r="O12" s="2">
        <v>2.26E-12</v>
      </c>
    </row>
    <row r="13">
      <c r="A13" s="1" t="s">
        <v>12</v>
      </c>
      <c r="B13" s="1" t="s">
        <v>35</v>
      </c>
      <c r="C13" s="1" t="s">
        <v>36</v>
      </c>
      <c r="D13" s="4" t="s">
        <v>37</v>
      </c>
      <c r="E13" s="1">
        <v>117.0</v>
      </c>
      <c r="F13" s="1">
        <v>8568.0</v>
      </c>
      <c r="G13" s="1">
        <v>0.008568</v>
      </c>
      <c r="H13" s="1">
        <v>9970.5</v>
      </c>
      <c r="I13" s="1">
        <v>9.9705</v>
      </c>
      <c r="J13" s="1">
        <v>0.0099705</v>
      </c>
      <c r="K13" s="1">
        <v>1.0</v>
      </c>
      <c r="L13" s="1">
        <v>0.008568000093</v>
      </c>
      <c r="M13" s="1">
        <v>0.0099705</v>
      </c>
      <c r="N13" s="2">
        <v>2.0E-9</v>
      </c>
      <c r="O13" s="2">
        <v>1.99E-11</v>
      </c>
    </row>
    <row r="14">
      <c r="A14" s="1" t="s">
        <v>12</v>
      </c>
      <c r="B14" s="1" t="s">
        <v>35</v>
      </c>
      <c r="C14" s="1" t="s">
        <v>38</v>
      </c>
      <c r="D14" s="4" t="s">
        <v>39</v>
      </c>
      <c r="E14" s="1">
        <v>9.0</v>
      </c>
      <c r="F14" s="1">
        <v>17463.6</v>
      </c>
      <c r="G14" s="1">
        <v>0.0174636</v>
      </c>
      <c r="H14" s="1">
        <v>24990.6</v>
      </c>
      <c r="I14" s="1">
        <v>24.9906</v>
      </c>
      <c r="J14" s="1">
        <v>0.0249906</v>
      </c>
      <c r="K14" s="1">
        <v>1.0</v>
      </c>
      <c r="L14" s="1">
        <v>0.01746360018</v>
      </c>
      <c r="M14" s="1">
        <v>0.0249906</v>
      </c>
      <c r="N14" s="2">
        <v>2.0E-9</v>
      </c>
      <c r="O14" s="2">
        <v>5.0E-11</v>
      </c>
    </row>
    <row r="15">
      <c r="A15" s="5" t="s">
        <v>12</v>
      </c>
      <c r="B15" s="5" t="s">
        <v>40</v>
      </c>
      <c r="C15" s="5" t="s">
        <v>41</v>
      </c>
      <c r="D15" s="5" t="s">
        <v>42</v>
      </c>
      <c r="E15" s="6">
        <f>960*16</f>
        <v>15360</v>
      </c>
      <c r="F15" s="6">
        <v>41091.999805</v>
      </c>
      <c r="G15" s="7"/>
      <c r="H15" s="7"/>
      <c r="I15" s="7">
        <v>453.7682</v>
      </c>
      <c r="J15" s="7"/>
      <c r="K15" s="7">
        <v>1.0</v>
      </c>
      <c r="L15" s="6">
        <f>F15/1000000</f>
        <v>0.04109199981</v>
      </c>
      <c r="M15" s="6">
        <v>3.13</v>
      </c>
      <c r="N15" s="8">
        <v>2.0E-9</v>
      </c>
      <c r="O15" s="8">
        <v>9.08E-10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" t="s">
        <v>12</v>
      </c>
      <c r="B16" s="1" t="s">
        <v>40</v>
      </c>
      <c r="C16" s="1" t="s">
        <v>12</v>
      </c>
      <c r="D16" s="1" t="s">
        <v>43</v>
      </c>
      <c r="E16" s="1">
        <v>1.0</v>
      </c>
      <c r="F16" s="1" t="s">
        <v>12</v>
      </c>
      <c r="G16" s="1">
        <v>1.023</v>
      </c>
      <c r="H16" s="1" t="s">
        <v>12</v>
      </c>
      <c r="I16" s="1">
        <v>16.0168</v>
      </c>
      <c r="J16" s="1" t="s">
        <v>12</v>
      </c>
      <c r="K16" s="1">
        <v>1.0</v>
      </c>
      <c r="L16" s="1">
        <f>G16</f>
        <v>1.023</v>
      </c>
      <c r="M16" s="1">
        <f t="shared" ref="M16:M19" si="1">I16/1000</f>
        <v>0.0160168</v>
      </c>
      <c r="N16" s="8">
        <v>2.0E-9</v>
      </c>
      <c r="O16" s="10">
        <f>0.000002213916</f>
        <v>0.000002213916</v>
      </c>
    </row>
    <row r="17">
      <c r="A17" s="9"/>
      <c r="B17" s="9"/>
      <c r="C17" s="9" t="s">
        <v>44</v>
      </c>
      <c r="D17" s="9"/>
      <c r="E17" s="9"/>
      <c r="F17" s="11">
        <v>2913.600001</v>
      </c>
      <c r="G17" s="9"/>
      <c r="H17" s="9"/>
      <c r="I17" s="11">
        <v>5.4789</v>
      </c>
      <c r="J17" s="9"/>
      <c r="K17" s="11">
        <v>1.0</v>
      </c>
      <c r="L17" s="9">
        <f t="shared" ref="L17:L19" si="2">F17/1000000</f>
        <v>0.002913600001</v>
      </c>
      <c r="M17" s="9">
        <f t="shared" si="1"/>
        <v>0.0054789</v>
      </c>
      <c r="N17" s="8">
        <v>2.0E-9</v>
      </c>
      <c r="O17" s="10">
        <f t="shared" ref="O17:O19" si="3">M17*N17</f>
        <v>0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 t="s">
        <v>45</v>
      </c>
      <c r="D18" s="9"/>
      <c r="E18" s="9"/>
      <c r="F18" s="11">
        <v>2913.600001</v>
      </c>
      <c r="G18" s="9"/>
      <c r="H18" s="9"/>
      <c r="I18" s="11">
        <v>5.4789</v>
      </c>
      <c r="J18" s="9"/>
      <c r="K18" s="11">
        <v>1.0</v>
      </c>
      <c r="L18" s="9">
        <f t="shared" si="2"/>
        <v>0.002913600001</v>
      </c>
      <c r="M18" s="9">
        <f t="shared" si="1"/>
        <v>0.0054789</v>
      </c>
      <c r="N18" s="8">
        <v>2.0E-9</v>
      </c>
      <c r="O18" s="10">
        <f t="shared" si="3"/>
        <v>0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 t="s">
        <v>46</v>
      </c>
      <c r="D19" s="9"/>
      <c r="E19" s="9"/>
      <c r="F19" s="11">
        <v>716.000016</v>
      </c>
      <c r="G19" s="9"/>
      <c r="H19" s="9"/>
      <c r="I19" s="11">
        <v>0.8784</v>
      </c>
      <c r="J19" s="9"/>
      <c r="K19" s="11">
        <v>1.0</v>
      </c>
      <c r="L19" s="9">
        <f t="shared" si="2"/>
        <v>0.000716000016</v>
      </c>
      <c r="M19" s="9">
        <f t="shared" si="1"/>
        <v>0.0008784</v>
      </c>
      <c r="N19" s="8">
        <v>2.0E-9</v>
      </c>
      <c r="O19" s="10">
        <f t="shared" si="3"/>
        <v>0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 t="s">
        <v>47</v>
      </c>
      <c r="E20" s="9"/>
      <c r="F20" s="9"/>
      <c r="G20" s="9"/>
      <c r="H20" s="9"/>
      <c r="I20" s="9"/>
      <c r="J20" s="9"/>
      <c r="K20" s="9"/>
      <c r="L20" s="9"/>
      <c r="M20" s="9"/>
      <c r="N20" s="8"/>
      <c r="O20" s="12">
        <v>0.00704643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C21" s="1" t="s">
        <v>48</v>
      </c>
      <c r="F21" s="1">
        <v>231951.203459</v>
      </c>
      <c r="I21" s="1">
        <v>418.9252</v>
      </c>
      <c r="L21" s="9">
        <f>F21/1000000</f>
        <v>0.2319512035</v>
      </c>
      <c r="M21" s="9">
        <f>I21/1000</f>
        <v>0.4189252</v>
      </c>
      <c r="N21" s="8">
        <v>2.0E-9</v>
      </c>
      <c r="O21" s="13">
        <f>M21*N21</f>
        <v>0.0000000008378504</v>
      </c>
    </row>
    <row r="24">
      <c r="F24" s="14">
        <f>F14/G14</f>
        <v>1000000</v>
      </c>
    </row>
    <row r="28">
      <c r="A28" s="1" t="s">
        <v>0</v>
      </c>
      <c r="B28" s="1" t="s">
        <v>1</v>
      </c>
      <c r="D28" s="1" t="s">
        <v>2</v>
      </c>
      <c r="E28" s="1" t="s">
        <v>3</v>
      </c>
      <c r="F28" s="1" t="s">
        <v>4</v>
      </c>
      <c r="G28" s="1" t="s">
        <v>5</v>
      </c>
      <c r="H28" s="1" t="s">
        <v>6</v>
      </c>
      <c r="I28" s="1" t="s">
        <v>7</v>
      </c>
      <c r="J28" s="1" t="s">
        <v>8</v>
      </c>
      <c r="K28" s="1" t="s">
        <v>9</v>
      </c>
      <c r="L28" s="1" t="s">
        <v>5</v>
      </c>
      <c r="M28" s="1" t="s">
        <v>8</v>
      </c>
      <c r="N28" s="1" t="s">
        <v>10</v>
      </c>
      <c r="O28" s="1" t="s">
        <v>11</v>
      </c>
    </row>
    <row r="29">
      <c r="B29" s="1" t="s">
        <v>49</v>
      </c>
      <c r="C29" s="1" t="s">
        <v>50</v>
      </c>
      <c r="D29" s="1" t="s">
        <v>51</v>
      </c>
      <c r="F29" s="1">
        <v>30880.000239</v>
      </c>
      <c r="G29" s="14">
        <v>0.030880000239</v>
      </c>
      <c r="I29" s="1">
        <v>18.1856</v>
      </c>
      <c r="J29" s="14">
        <f>I29/1000</f>
        <v>0.0181856</v>
      </c>
      <c r="K29" s="15">
        <v>16384.0</v>
      </c>
      <c r="L29" s="14">
        <f t="shared" ref="L29:L31" si="4">G29*K29</f>
        <v>505.9379239</v>
      </c>
      <c r="M29" s="14">
        <f t="shared" ref="M29:M31" si="5">J29*K29</f>
        <v>297.9528704</v>
      </c>
      <c r="N29" s="2">
        <v>2.0E-9</v>
      </c>
      <c r="O29" s="13">
        <f t="shared" ref="O29:O31" si="6">M29*N29</f>
        <v>0.0000005959057408</v>
      </c>
    </row>
    <row r="30">
      <c r="B30" s="1" t="s">
        <v>35</v>
      </c>
      <c r="C30" s="1" t="s">
        <v>38</v>
      </c>
      <c r="D30" s="1" t="s">
        <v>39</v>
      </c>
      <c r="E30" s="1">
        <v>9.0</v>
      </c>
      <c r="F30" s="1">
        <v>17463.6</v>
      </c>
      <c r="G30" s="1">
        <v>0.0174636</v>
      </c>
      <c r="H30" s="1">
        <v>24990.6</v>
      </c>
      <c r="I30" s="1">
        <v>24.9906</v>
      </c>
      <c r="J30" s="1">
        <v>0.0249906</v>
      </c>
      <c r="K30" s="1">
        <v>9.0</v>
      </c>
      <c r="L30" s="1">
        <f t="shared" si="4"/>
        <v>0.1571724</v>
      </c>
      <c r="M30" s="14">
        <f t="shared" si="5"/>
        <v>0.2249154</v>
      </c>
      <c r="N30" s="2">
        <v>2.0E-9</v>
      </c>
      <c r="O30" s="2">
        <f t="shared" si="6"/>
        <v>0.0000000004498308</v>
      </c>
    </row>
    <row r="31">
      <c r="B31" s="1" t="s">
        <v>52</v>
      </c>
      <c r="C31" s="1" t="s">
        <v>50</v>
      </c>
      <c r="D31" s="1" t="s">
        <v>53</v>
      </c>
      <c r="F31" s="1">
        <v>30880.000239</v>
      </c>
      <c r="G31" s="14">
        <v>0.030880000239</v>
      </c>
      <c r="I31" s="1">
        <v>18.1856</v>
      </c>
      <c r="J31" s="14">
        <f>I31/1000</f>
        <v>0.0181856</v>
      </c>
      <c r="K31" s="1">
        <f>1024*16</f>
        <v>16384</v>
      </c>
      <c r="L31" s="14">
        <f t="shared" si="4"/>
        <v>505.9379239</v>
      </c>
      <c r="M31" s="14">
        <f t="shared" si="5"/>
        <v>297.9528704</v>
      </c>
      <c r="N31" s="2">
        <v>2.0E-9</v>
      </c>
      <c r="O31" s="13">
        <f t="shared" si="6"/>
        <v>0.0000005959057408</v>
      </c>
    </row>
    <row r="32">
      <c r="K32" s="1" t="s">
        <v>54</v>
      </c>
      <c r="L32" s="14">
        <f t="shared" ref="L32:M32" si="7">SUM(L29:L31)</f>
        <v>1012.03302</v>
      </c>
      <c r="M32" s="14">
        <f t="shared" si="7"/>
        <v>596.1306562</v>
      </c>
      <c r="N32" s="2">
        <v>2.0E-9</v>
      </c>
      <c r="O32" s="13">
        <f>SUM(O29:O31)</f>
        <v>0.000001192261312</v>
      </c>
    </row>
    <row r="35">
      <c r="A35" s="1" t="s">
        <v>0</v>
      </c>
      <c r="B35" s="1" t="s">
        <v>1</v>
      </c>
      <c r="D35" s="1" t="s">
        <v>2</v>
      </c>
      <c r="E35" s="1" t="s">
        <v>3</v>
      </c>
      <c r="F35" s="1" t="s">
        <v>4</v>
      </c>
      <c r="G35" s="1" t="s">
        <v>5</v>
      </c>
      <c r="H35" s="1" t="s">
        <v>6</v>
      </c>
      <c r="I35" s="1" t="s">
        <v>7</v>
      </c>
      <c r="J35" s="1" t="s">
        <v>8</v>
      </c>
      <c r="K35" s="1" t="s">
        <v>9</v>
      </c>
      <c r="L35" s="1" t="s">
        <v>5</v>
      </c>
      <c r="M35" s="1" t="s">
        <v>8</v>
      </c>
      <c r="N35" s="1" t="s">
        <v>10</v>
      </c>
      <c r="O35" s="1" t="s">
        <v>11</v>
      </c>
    </row>
    <row r="36">
      <c r="B36" s="1" t="s">
        <v>49</v>
      </c>
      <c r="C36" s="1" t="s">
        <v>50</v>
      </c>
      <c r="D36" s="1" t="s">
        <v>51</v>
      </c>
      <c r="F36" s="1">
        <v>30880.000239</v>
      </c>
      <c r="G36" s="14">
        <f>F36/F24</f>
        <v>0.03088000024</v>
      </c>
      <c r="I36" s="1">
        <v>18.1856</v>
      </c>
      <c r="J36" s="14">
        <f t="shared" ref="J36:J37" si="8">I36/1000</f>
        <v>0.0181856</v>
      </c>
      <c r="K36" s="15">
        <v>16384.0</v>
      </c>
      <c r="L36" s="14">
        <f t="shared" ref="L36:L37" si="9">G36*K36</f>
        <v>505.9379239</v>
      </c>
      <c r="M36" s="14">
        <f t="shared" ref="M36:M37" si="10">J36*K36</f>
        <v>297.9528704</v>
      </c>
      <c r="N36" s="2">
        <v>2.0E-9</v>
      </c>
      <c r="O36" s="13">
        <f t="shared" ref="O36:O37" si="11">M36*N36</f>
        <v>0.0000005959057408</v>
      </c>
    </row>
    <row r="37">
      <c r="B37" s="1" t="s">
        <v>35</v>
      </c>
      <c r="C37" s="1" t="s">
        <v>36</v>
      </c>
      <c r="D37" s="1" t="s">
        <v>37</v>
      </c>
      <c r="E37" s="1">
        <v>117.0</v>
      </c>
      <c r="F37" s="1">
        <v>8568.0</v>
      </c>
      <c r="G37" s="1">
        <v>0.008568</v>
      </c>
      <c r="H37" s="1">
        <v>9970.5</v>
      </c>
      <c r="I37" s="1">
        <v>9.9705</v>
      </c>
      <c r="J37" s="14">
        <f t="shared" si="8"/>
        <v>0.0099705</v>
      </c>
      <c r="K37" s="1">
        <v>3.0</v>
      </c>
      <c r="L37" s="14">
        <f t="shared" si="9"/>
        <v>0.025704</v>
      </c>
      <c r="M37" s="14">
        <f t="shared" si="10"/>
        <v>0.0299115</v>
      </c>
      <c r="N37" s="2">
        <v>2.0E-9</v>
      </c>
      <c r="O37" s="13">
        <f t="shared" si="11"/>
        <v>0</v>
      </c>
    </row>
    <row r="38">
      <c r="B38" s="1" t="s">
        <v>35</v>
      </c>
      <c r="C38" s="1" t="s">
        <v>38</v>
      </c>
      <c r="D38" s="1" t="s">
        <v>39</v>
      </c>
      <c r="E38" s="1">
        <v>9.0</v>
      </c>
      <c r="F38" s="1">
        <v>17463.6</v>
      </c>
      <c r="G38" s="1">
        <v>0.0174636</v>
      </c>
      <c r="H38" s="1">
        <v>24990.6</v>
      </c>
      <c r="I38" s="1">
        <v>24.9906</v>
      </c>
      <c r="J38" s="1">
        <v>0.0249906</v>
      </c>
      <c r="K38" s="1">
        <v>1.0</v>
      </c>
      <c r="L38" s="1">
        <v>0.01746360018</v>
      </c>
      <c r="M38" s="1">
        <v>0.0249906</v>
      </c>
      <c r="N38" s="2">
        <v>2.0E-9</v>
      </c>
      <c r="O38" s="2">
        <v>5.0E-11</v>
      </c>
    </row>
    <row r="39">
      <c r="B39" s="1" t="s">
        <v>55</v>
      </c>
      <c r="C39" s="1" t="s">
        <v>56</v>
      </c>
      <c r="D39" s="1" t="s">
        <v>53</v>
      </c>
      <c r="F39" s="1">
        <v>15506.800092</v>
      </c>
      <c r="G39" s="14">
        <f>F39/F24</f>
        <v>0.01550680009</v>
      </c>
      <c r="I39" s="1">
        <v>12.5983</v>
      </c>
      <c r="J39" s="14">
        <f>I39/1000</f>
        <v>0.0125983</v>
      </c>
      <c r="K39" s="12">
        <f>192*16</f>
        <v>3072</v>
      </c>
      <c r="L39" s="14">
        <f>G39*K39</f>
        <v>47.63688988</v>
      </c>
      <c r="M39" s="14">
        <f>J39*K39</f>
        <v>38.7019776</v>
      </c>
      <c r="N39" s="2">
        <v>2.0E-9</v>
      </c>
      <c r="O39" s="13">
        <f>M39*N39</f>
        <v>0.0000000774039552</v>
      </c>
    </row>
    <row r="40">
      <c r="K40" s="1" t="s">
        <v>54</v>
      </c>
      <c r="L40" s="14">
        <f t="shared" ref="L40:M40" si="12">SUM(L36:L39)</f>
        <v>553.6179814</v>
      </c>
      <c r="M40" s="14">
        <f t="shared" si="12"/>
        <v>336.7097501</v>
      </c>
      <c r="N40" s="2">
        <v>2.0E-9</v>
      </c>
      <c r="O40" s="13">
        <f>SUM(O36:O39)</f>
        <v>0.000000673419519</v>
      </c>
    </row>
    <row r="43">
      <c r="A43" s="16"/>
      <c r="B43" s="16"/>
      <c r="C43" s="1" t="s">
        <v>57</v>
      </c>
      <c r="D43" s="16" t="s">
        <v>58</v>
      </c>
      <c r="E43" s="16" t="s">
        <v>59</v>
      </c>
      <c r="F43" s="16" t="s">
        <v>60</v>
      </c>
      <c r="G43" s="16" t="s">
        <v>61</v>
      </c>
      <c r="H43" s="16" t="s">
        <v>62</v>
      </c>
      <c r="I43" s="16" t="s">
        <v>63</v>
      </c>
      <c r="J43" s="16" t="s">
        <v>64</v>
      </c>
      <c r="K43" s="16" t="s">
        <v>65</v>
      </c>
      <c r="L43" s="16" t="s">
        <v>66</v>
      </c>
      <c r="M43" s="16" t="s">
        <v>67</v>
      </c>
      <c r="N43" s="16" t="s">
        <v>68</v>
      </c>
      <c r="O43" s="16" t="s">
        <v>69</v>
      </c>
      <c r="P43" s="16" t="s">
        <v>70</v>
      </c>
      <c r="Q43" s="16" t="s">
        <v>71</v>
      </c>
      <c r="R43" s="16" t="s">
        <v>72</v>
      </c>
    </row>
    <row r="44">
      <c r="A44" s="17"/>
      <c r="B44" s="18"/>
      <c r="C44" s="18">
        <v>12.0</v>
      </c>
      <c r="D44" s="18">
        <v>512.0</v>
      </c>
      <c r="E44" s="18">
        <v>512.0</v>
      </c>
      <c r="F44" s="18">
        <v>768.0</v>
      </c>
      <c r="G44" s="18">
        <v>768.0</v>
      </c>
      <c r="H44" s="18">
        <v>6144.0</v>
      </c>
      <c r="I44" s="18">
        <v>0.221786</v>
      </c>
      <c r="J44" s="18">
        <v>6.72611</v>
      </c>
      <c r="K44" s="18">
        <v>3.304453</v>
      </c>
      <c r="L44" s="18">
        <v>0.739928</v>
      </c>
      <c r="M44" s="18">
        <v>2473.901162</v>
      </c>
      <c r="N44" s="18">
        <v>1309.428154</v>
      </c>
      <c r="O44" s="18">
        <v>11154.445786</v>
      </c>
      <c r="P44" s="18">
        <v>3343.433921</v>
      </c>
      <c r="Q44" s="18">
        <v>3375.579995</v>
      </c>
      <c r="R44" s="18">
        <v>1658.379923</v>
      </c>
    </row>
    <row r="45">
      <c r="A45" s="17"/>
      <c r="B45" s="18"/>
      <c r="C45" s="18">
        <v>24.0</v>
      </c>
      <c r="D45" s="18">
        <v>512.0</v>
      </c>
      <c r="E45" s="16">
        <v>512.0</v>
      </c>
      <c r="F45" s="16">
        <v>1024.0</v>
      </c>
      <c r="G45" s="16">
        <v>1024.0</v>
      </c>
      <c r="H45" s="18">
        <v>12288.0</v>
      </c>
      <c r="I45" s="18">
        <v>0.443572</v>
      </c>
      <c r="J45" s="18">
        <v>6.72611</v>
      </c>
      <c r="K45" s="18">
        <v>3.304453</v>
      </c>
      <c r="L45" s="18">
        <v>1.47281</v>
      </c>
      <c r="M45" s="18">
        <v>6597.069767</v>
      </c>
      <c r="N45" s="18">
        <v>3491.808412</v>
      </c>
      <c r="O45" s="18">
        <v>14872.594382</v>
      </c>
      <c r="P45" s="18">
        <v>4479.240079</v>
      </c>
      <c r="Q45" s="18">
        <v>4500.773327</v>
      </c>
      <c r="R45" s="18">
        <v>2211.173231</v>
      </c>
    </row>
    <row r="46">
      <c r="A46" s="17"/>
      <c r="B46" s="18"/>
      <c r="C46" s="18">
        <v>12.0</v>
      </c>
      <c r="D46" s="18">
        <v>512.0</v>
      </c>
      <c r="E46" s="18">
        <v>512.0</v>
      </c>
      <c r="F46" s="18">
        <v>768.0</v>
      </c>
      <c r="G46" s="18">
        <v>768.0</v>
      </c>
      <c r="H46" s="18">
        <v>6144.0</v>
      </c>
      <c r="I46" s="18">
        <v>0.221786</v>
      </c>
      <c r="J46" s="18">
        <v>6.72611</v>
      </c>
      <c r="K46" s="18">
        <v>3.304453</v>
      </c>
      <c r="L46" s="18">
        <v>0.739928</v>
      </c>
      <c r="M46" s="18">
        <v>2473.901162</v>
      </c>
      <c r="N46" s="18">
        <v>1309.428154</v>
      </c>
      <c r="O46" s="18">
        <v>11154.445786</v>
      </c>
      <c r="P46" s="18">
        <v>3343.433921</v>
      </c>
      <c r="Q46" s="18">
        <v>3375.579995</v>
      </c>
      <c r="R46" s="18">
        <v>1658.379923</v>
      </c>
    </row>
    <row r="49">
      <c r="H49" s="1" t="s">
        <v>73</v>
      </c>
      <c r="I49" s="1" t="s">
        <v>74</v>
      </c>
      <c r="J49" s="1" t="s">
        <v>75</v>
      </c>
      <c r="K49" s="1" t="s">
        <v>76</v>
      </c>
      <c r="L49" s="1" t="s">
        <v>77</v>
      </c>
    </row>
    <row r="50">
      <c r="I50" s="14">
        <f>I45/$C$45/512</f>
        <v>0.00003609798177</v>
      </c>
      <c r="J50" s="18">
        <v>6.72611</v>
      </c>
      <c r="K50" s="18">
        <v>3.304453</v>
      </c>
      <c r="L50" s="14">
        <f>I50*K50 + 0.00704643</f>
        <v>0.007165714084</v>
      </c>
      <c r="M50" s="14">
        <f t="shared" ref="M50:R50" si="13">M45/$C$45</f>
        <v>274.877907</v>
      </c>
      <c r="N50" s="14">
        <f t="shared" si="13"/>
        <v>145.4920172</v>
      </c>
      <c r="O50" s="14">
        <f t="shared" si="13"/>
        <v>619.6914326</v>
      </c>
      <c r="P50" s="14">
        <f t="shared" si="13"/>
        <v>186.6350033</v>
      </c>
      <c r="Q50" s="14">
        <f t="shared" si="13"/>
        <v>187.532222</v>
      </c>
      <c r="R50" s="14">
        <f t="shared" si="13"/>
        <v>92.13221796</v>
      </c>
    </row>
    <row r="51">
      <c r="J51" s="18"/>
      <c r="K51" s="18"/>
    </row>
    <row r="55">
      <c r="B55" s="14">
        <f>0.000036*3.304453*6144</f>
        <v>0.7308921324</v>
      </c>
    </row>
  </sheetData>
  <drawing r:id="rId1"/>
</worksheet>
</file>