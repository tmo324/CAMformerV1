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1207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bfm303/Development/camformer/CAMformer-simulator/Simulation/"/>
    </mc:Choice>
  </mc:AlternateContent>
  <xr:revisionPtr revIDLastSave="0" documentId="13_ncr:9_{8F4D6CC0-421A-AF4E-BFFF-89A36B049245}" xr6:coauthVersionLast="47" xr6:coauthVersionMax="47" xr10:uidLastSave="{00000000-0000-0000-0000-000000000000}"/>
  <bookViews>
    <workbookView xWindow="0" yWindow="780" windowWidth="34200" windowHeight="20160" xr2:uid="{1D06E9C1-7EC6-0349-925C-AFAA29E3FCB5}"/>
  </bookViews>
  <sheets>
    <sheet name="modules" sheetId="1" r:id="rId1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C10" i="1" l="1"/>
  <c r="D14" i="1"/>
  <c r="C16" i="1"/>
  <c r="D10" i="1"/>
  <c r="D7" i="1"/>
  <c r="C7" i="1"/>
  <c r="C9" i="1"/>
  <c r="D9" i="1"/>
  <c r="H5" i="1"/>
  <c r="D15" i="1"/>
  <c r="D12" i="1" s="1"/>
  <c r="C15" i="1"/>
  <c r="C12" i="1" s="1"/>
  <c r="D5" i="1"/>
  <c r="C5" i="1"/>
  <c r="D11" i="1"/>
  <c r="C11" i="1"/>
  <c r="D3" i="1"/>
</calcChain>
</file>

<file path=xl/sharedStrings.xml><?xml version="1.0" encoding="utf-8"?>
<sst xmlns="http://purl.oclc.org/ooxml/spreadsheetml/main" count="44" uniqueCount="33">
  <si>
    <t>Module</t>
  </si>
  <si>
    <t>Delay (cycles)</t>
  </si>
  <si>
    <t>Power (mW)</t>
  </si>
  <si>
    <t>Area (um^2)</t>
  </si>
  <si>
    <t>Source</t>
  </si>
  <si>
    <t>synthesis</t>
  </si>
  <si>
    <t>cacti</t>
  </si>
  <si>
    <t>spice</t>
  </si>
  <si>
    <t>paper</t>
  </si>
  <si>
    <t>Note</t>
  </si>
  <si>
    <t>Number</t>
  </si>
  <si>
    <t>using mac numbers as pessimistic, single stage</t>
  </si>
  <si>
    <t>Node (nm)</t>
  </si>
  <si>
    <t>64-&gt;32, using comb area/power from fully pipelined design and assuming one shared register (no pipelining)</t>
  </si>
  <si>
    <t>16-&gt;4, using comb area/power from fully pipelined design and assuming one shared register (no pipelining)</t>
  </si>
  <si>
    <t>shifter+ scaler, timing weird with synthesis. assuming delay of 2 cycles</t>
  </si>
  <si>
    <t>64B</t>
  </si>
  <si>
    <t>Power value is Energy in nJ * size of mem access divided by cycles</t>
  </si>
  <si>
    <t>Query Buffer</t>
  </si>
  <si>
    <t>Key SRAM</t>
  </si>
  <si>
    <t>BA-CAM 64X64</t>
  </si>
  <si>
    <t>6b ADCs</t>
  </si>
  <si>
    <t>Fixed Scalers</t>
  </si>
  <si>
    <t>Top2</t>
  </si>
  <si>
    <t>Ptop Reg</t>
  </si>
  <si>
    <t>Top32</t>
  </si>
  <si>
    <t>SoftMax LUT</t>
  </si>
  <si>
    <t>SoftMax Div.</t>
  </si>
  <si>
    <t>SoftMax Acc.</t>
  </si>
  <si>
    <t>Output Buff</t>
  </si>
  <si>
    <t>Value SRAM</t>
  </si>
  <si>
    <t>BF16 MACs</t>
  </si>
  <si>
    <t>DRAM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</si>
</sst>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23112-B411-6047-8EEC-2D499A8836CA}">
  <dimension ref="A1:H16"/>
  <sheetViews>
    <sheetView tabSelected="1" workbookViewId="0">
      <selection activeCell="I30" sqref="I30"/>
    </sheetView>
  </sheetViews>
  <sheetFormatPr baseColWidth="10" defaultRowHeight="16" x14ac:dyDescent="0.2"/>
  <cols>
    <col min="1" max="1" width="14.1640625" bestFit="1" customWidth="1"/>
    <col min="2" max="2" width="12.664062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12</v>
      </c>
      <c r="G1" t="s">
        <v>10</v>
      </c>
      <c r="H1" t="s">
        <v>9</v>
      </c>
    </row>
    <row r="2" spans="1:8" x14ac:dyDescent="0.2">
      <c r="A2" t="s">
        <v>18</v>
      </c>
      <c r="B2">
        <v>1</v>
      </c>
      <c r="C2">
        <v>1.54</v>
      </c>
      <c r="D2">
        <v>3750</v>
      </c>
      <c r="E2" t="s">
        <v>5</v>
      </c>
      <c r="F2">
        <v>65</v>
      </c>
      <c r="G2">
        <v>1</v>
      </c>
    </row>
    <row r="3" spans="1:8" x14ac:dyDescent="0.2">
      <c r="A3" t="s">
        <v>19</v>
      </c>
      <c r="B3">
        <v>1</v>
      </c>
      <c r="C3">
        <v>28.4</v>
      </c>
      <c r="D3">
        <f>0.0277286 * 1000000</f>
        <v>27728.6</v>
      </c>
      <c r="E3" t="s">
        <v>6</v>
      </c>
      <c r="F3">
        <v>40</v>
      </c>
      <c r="G3">
        <v>1</v>
      </c>
    </row>
    <row r="4" spans="1:8" x14ac:dyDescent="0.2">
      <c r="A4" t="s">
        <v>20</v>
      </c>
      <c r="B4">
        <v>1</v>
      </c>
      <c r="C4">
        <v>100.8</v>
      </c>
      <c r="D4">
        <v>13516.8</v>
      </c>
      <c r="E4" t="s">
        <v>7</v>
      </c>
      <c r="F4">
        <v>65</v>
      </c>
      <c r="G4">
        <v>1</v>
      </c>
    </row>
    <row r="5" spans="1:8" x14ac:dyDescent="0.2">
      <c r="A5" t="s">
        <v>21</v>
      </c>
      <c r="B5">
        <v>2</v>
      </c>
      <c r="C5">
        <f>0.95</f>
        <v>0.95</v>
      </c>
      <c r="D5">
        <f>0.004*1000000</f>
        <v>4000</v>
      </c>
      <c r="E5" t="s">
        <v>8</v>
      </c>
      <c r="F5">
        <v>40</v>
      </c>
      <c r="G5">
        <v>16</v>
      </c>
      <c r="H5">
        <f>D5*G5</f>
        <v>64000</v>
      </c>
    </row>
    <row r="6" spans="1:8" x14ac:dyDescent="0.2">
      <c r="A6" t="s">
        <v>22</v>
      </c>
      <c r="B6">
        <v>2</v>
      </c>
      <c r="C6">
        <v>4.7E-2</v>
      </c>
      <c r="D6">
        <v>126.72</v>
      </c>
      <c r="E6" t="s">
        <v>5</v>
      </c>
      <c r="F6">
        <v>65</v>
      </c>
      <c r="G6">
        <v>16</v>
      </c>
      <c r="H6" t="s">
        <v>15</v>
      </c>
    </row>
    <row r="7" spans="1:8" x14ac:dyDescent="0.2">
      <c r="A7" t="s">
        <v>23</v>
      </c>
      <c r="B7">
        <v>2</v>
      </c>
      <c r="C7">
        <f>13.4375-(3/4)*(1.2982 + 1.0713)</f>
        <v>11.660375</v>
      </c>
      <c r="D7">
        <f>23038.080095 - (3/4)*(12936.959938)</f>
        <v>13335.360141500001</v>
      </c>
      <c r="E7" t="s">
        <v>5</v>
      </c>
      <c r="F7">
        <v>65</v>
      </c>
      <c r="G7">
        <v>1</v>
      </c>
      <c r="H7" t="s">
        <v>14</v>
      </c>
    </row>
    <row r="8" spans="1:8" x14ac:dyDescent="0.2">
      <c r="A8" t="s">
        <v>24</v>
      </c>
      <c r="B8">
        <v>1</v>
      </c>
      <c r="C8">
        <v>2.93</v>
      </c>
      <c r="D8">
        <v>9155</v>
      </c>
      <c r="E8" t="s">
        <v>5</v>
      </c>
      <c r="F8">
        <v>65</v>
      </c>
      <c r="G8">
        <v>1</v>
      </c>
      <c r="H8" t="s">
        <v>16</v>
      </c>
    </row>
    <row r="9" spans="1:8" x14ac:dyDescent="0.2">
      <c r="A9" t="s">
        <v>25</v>
      </c>
      <c r="B9">
        <v>6</v>
      </c>
      <c r="C9">
        <f>119.9517 - (5/6)*(13.0648 + 11.0998)</f>
        <v>99.81453333333333</v>
      </c>
      <c r="D9">
        <f>192369.601713 - 108994.559814 + (108994.559814/6)</f>
        <v>101540.80186800001</v>
      </c>
      <c r="E9" t="s">
        <v>5</v>
      </c>
      <c r="F9">
        <v>65</v>
      </c>
      <c r="G9">
        <v>1</v>
      </c>
      <c r="H9" t="s">
        <v>13</v>
      </c>
    </row>
    <row r="10" spans="1:8" x14ac:dyDescent="0.2">
      <c r="A10" t="s">
        <v>26</v>
      </c>
      <c r="B10">
        <v>1</v>
      </c>
      <c r="C10">
        <f>1.418</f>
        <v>1.4179999999999999</v>
      </c>
      <c r="D10">
        <f>0.0870993*0.0185119*1000000</f>
        <v>1612.3735316700001</v>
      </c>
      <c r="E10" t="s">
        <v>6</v>
      </c>
      <c r="F10">
        <v>40</v>
      </c>
      <c r="G10">
        <v>1</v>
      </c>
    </row>
    <row r="11" spans="1:8" x14ac:dyDescent="0.2">
      <c r="A11" t="s">
        <v>27</v>
      </c>
      <c r="B11">
        <v>3</v>
      </c>
      <c r="C11">
        <f>71.09/1000</f>
        <v>7.109E-2</v>
      </c>
      <c r="D11">
        <f>441.529</f>
        <v>441.529</v>
      </c>
      <c r="E11" t="s">
        <v>8</v>
      </c>
      <c r="F11">
        <v>45</v>
      </c>
      <c r="G11">
        <v>1</v>
      </c>
    </row>
    <row r="12" spans="1:8" x14ac:dyDescent="0.2">
      <c r="A12" t="s">
        <v>28</v>
      </c>
      <c r="B12">
        <v>1</v>
      </c>
      <c r="C12">
        <f>C15</f>
        <v>2.141</v>
      </c>
      <c r="D12">
        <f>D15</f>
        <v>4363</v>
      </c>
      <c r="E12" t="s">
        <v>8</v>
      </c>
      <c r="F12">
        <v>65</v>
      </c>
      <c r="G12">
        <v>1</v>
      </c>
      <c r="H12" t="s">
        <v>11</v>
      </c>
    </row>
    <row r="13" spans="1:8" x14ac:dyDescent="0.2">
      <c r="A13" t="s">
        <v>29</v>
      </c>
      <c r="B13">
        <v>1</v>
      </c>
      <c r="C13">
        <v>2.98</v>
      </c>
      <c r="D13">
        <v>9077</v>
      </c>
      <c r="E13" t="s">
        <v>5</v>
      </c>
      <c r="F13">
        <v>65</v>
      </c>
      <c r="G13">
        <v>1</v>
      </c>
    </row>
    <row r="14" spans="1:8" x14ac:dyDescent="0.2">
      <c r="A14" t="s">
        <v>30</v>
      </c>
      <c r="B14">
        <v>1</v>
      </c>
      <c r="C14">
        <v>34.700000000000003</v>
      </c>
      <c r="D14">
        <f>0.332*0.135*1000000</f>
        <v>44820.000000000007</v>
      </c>
      <c r="E14" t="s">
        <v>6</v>
      </c>
      <c r="F14">
        <v>40</v>
      </c>
      <c r="G14">
        <v>1</v>
      </c>
    </row>
    <row r="15" spans="1:8" x14ac:dyDescent="0.2">
      <c r="A15" t="s">
        <v>31</v>
      </c>
      <c r="B15">
        <v>4</v>
      </c>
      <c r="C15">
        <f>2.141</f>
        <v>2.141</v>
      </c>
      <c r="D15">
        <f>4363</f>
        <v>4363</v>
      </c>
      <c r="E15" t="s">
        <v>8</v>
      </c>
      <c r="F15">
        <v>65</v>
      </c>
      <c r="G15">
        <v>8</v>
      </c>
    </row>
    <row r="16" spans="1:8" x14ac:dyDescent="0.2">
      <c r="A16" t="s">
        <v>32</v>
      </c>
      <c r="B16">
        <v>24</v>
      </c>
      <c r="C16">
        <f>(2.33*128)/24</f>
        <v>12.426666666666668</v>
      </c>
      <c r="D16">
        <v>0</v>
      </c>
      <c r="E16" t="s">
        <v>8</v>
      </c>
      <c r="F16">
        <v>45</v>
      </c>
      <c r="G16">
        <v>1</v>
      </c>
      <c r="H16" t="s">
        <v>17</v>
      </c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Ben Morris III</cp:lastModifiedBy>
  <dcterms:created xsi:type="dcterms:W3CDTF">2025-04-08T22:44:22Z</dcterms:created>
  <dcterms:modified xsi:type="dcterms:W3CDTF">2025-04-21T16:58:21Z</dcterms:modified>
</cp:coreProperties>
</file>